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nggito\Kerja\P3MD\quiz-project\questions\mk2w3\"/>
    </mc:Choice>
  </mc:AlternateContent>
  <xr:revisionPtr revIDLastSave="0" documentId="13_ncr:1_{F2084E01-E1FB-442E-B9C3-9C906ACB5DA4}" xr6:coauthVersionLast="47" xr6:coauthVersionMax="47" xr10:uidLastSave="{00000000-0000-0000-0000-000000000000}"/>
  <bookViews>
    <workbookView xWindow="-108" yWindow="-108" windowWidth="23256" windowHeight="12456" xr2:uid="{00000000-000D-0000-FFFF-FFFF00000000}"/>
  </bookViews>
  <sheets>
    <sheet name="Questions" sheetId="1" r:id="rId1"/>
    <sheet name="Instructions" sheetId="2" r:id="rId2"/>
  </sheets>
  <definedNames>
    <definedName name="_xlnm._FilterDatabase" localSheetId="0" hidden="1">Questions!$A$1:$I$61</definedName>
  </definedNames>
  <calcPr calcId="0"/>
</workbook>
</file>

<file path=xl/sharedStrings.xml><?xml version="1.0" encoding="utf-8"?>
<sst xmlns="http://schemas.openxmlformats.org/spreadsheetml/2006/main" count="171" uniqueCount="135">
  <si>
    <t>prompt</t>
  </si>
  <si>
    <t>type</t>
  </si>
  <si>
    <t>option_a</t>
  </si>
  <si>
    <t>option_b</t>
  </si>
  <si>
    <t>option_c</t>
  </si>
  <si>
    <t>option_d</t>
  </si>
  <si>
    <t>option_e</t>
  </si>
  <si>
    <t>option_f</t>
  </si>
  <si>
    <t>correct</t>
  </si>
  <si>
    <t>single</t>
  </si>
  <si>
    <t>B</t>
  </si>
  <si>
    <t>D</t>
  </si>
  <si>
    <t>A</t>
  </si>
  <si>
    <t>C</t>
  </si>
  <si>
    <t>Purchases equal 70% of sales. Of those purchases, 10% is paid in cash in the purchase month, 70% in the next month, and 20% two months later. November sales are $300,000. What is November's cash purchase, and when is the 20% tail of November's purchases paid?</t>
  </si>
  <si>
    <t>The cash purchase is $30,000, and the 20% tail is paid in November.</t>
  </si>
  <si>
    <t>November purchases are $210,000, so the cash purchase is $21,000. The 20% tail is $42,000 and is paid in January, outside an October-December budget.</t>
  </si>
  <si>
    <t>The cash purchase is the full $210,000. Nothing is lagged.</t>
  </si>
  <si>
    <t>The cash purchase is 70% of November sales, or $210,000, because 70% is the cash portion.</t>
  </si>
  <si>
    <t>Which set of November items (in thousands) adds to Coulson's cash disbursements of 418?</t>
  </si>
  <si>
    <t>Cash purchases 21, payables lagged one month 196, payables lagged two months 28, rent 5, wages and salaries 38, and the machinery outlay 130. Tax, interest, the dividend, and the principal payment fall in other months.</t>
  </si>
  <si>
    <t>418 is November sales, so disbursements are set equal to sales.</t>
  </si>
  <si>
    <t>The 130 machinery payment is omitted. A fixed-asset purchase is not a cash disbursement.</t>
  </si>
  <si>
    <t>Wages are a flat 8 plus 10% of annual sales, so the November wage line cannot be 38.</t>
  </si>
  <si>
    <t>October cash receipts are 210 and cash disbursements are 213 (thousands). Beginning cash is 50. What are net cash flow and ending cash before the minimum-cash test?</t>
  </si>
  <si>
    <t>Net cash flow is +3 and ending cash is 53.</t>
  </si>
  <si>
    <t>Net cash flow is -213 and ending cash is -163.</t>
  </si>
  <si>
    <t>Ending cash is forced to 25 before net cash flow is computed.</t>
  </si>
  <si>
    <t>Net cash flow is 210 - 213 = -3. Ending cash is 50 + (-3) = 47.</t>
  </si>
  <si>
    <t>Ending cash for the month is 47 and the minimum cash balance is 25 (thousands). What does the cash budget call for?</t>
  </si>
  <si>
    <t>Required financing of 22, because ending cash is below the beginning balance of 50.</t>
  </si>
  <si>
    <t>An excess of 47. The entire ending balance can be invested, and the minimum is ignored.</t>
  </si>
  <si>
    <t>An excess cash balance of 22, which can be invested in marketable securities. Required financing is zero.</t>
  </si>
  <si>
    <t>An excess of 3, equal to the size of the net cash outflow.</t>
  </si>
  <si>
    <t>In the most-likely budget, November's net cash outflow is $98,000. Cash and marketable securities available at the start of that calculation are $47,000. The firm will not let cash fall below $25,000. How much must it borrow?</t>
  </si>
  <si>
    <t>$98,000. Beginning cash and the minimum balance are ignored.</t>
  </si>
  <si>
    <t>$76,000. The outflow exceeds available cash by $51,000, and another $25,000 is borrowed so the minimum balance is restored.</t>
  </si>
  <si>
    <t>$170,000. The outflow, the beginning balance, and the minimum are all added.</t>
  </si>
  <si>
    <t>$25,000. The loan equals the minimum cash balance.</t>
  </si>
  <si>
    <t>At the end of November the most-likely budget shows $76,000 of required financing. December's net cash inflow is $35,000. What is outstanding required financing at the end of December, and what does that line mean?</t>
  </si>
  <si>
    <t>$41,000 still owed. The financing line is the loan balance at month-end, not the amount newly borrowed that month. The $35,000 inflow repays part of the $76,000.</t>
  </si>
  <si>
    <t>$35,000. A positive inflow replaces the old loan balance.</t>
  </si>
  <si>
    <t>$111,000. The inflow is added to the old loan.</t>
  </si>
  <si>
    <t>Zero. Any month with a positive net cash flow retires all short-term debt.</t>
  </si>
  <si>
    <t>After excess cash is invested and short-term borrowing is arranged, which end-of-December position matches the most-likely Coulson case?</t>
  </si>
  <si>
    <t>Cash $0, marketable securities $22,000, notes payable $76,000.</t>
  </si>
  <si>
    <t>Cash is negative $16,000 and notes payable are $0, because the unadjusted ending-cash line is the bank balance.</t>
  </si>
  <si>
    <t>Cash $41,000, marketable securities $35,000, notes payable $25,000.</t>
  </si>
  <si>
    <t>Cash is held at the $25,000 minimum, marketable securities are $0, and notes payable are $41,000. Borrowing covers the unadjusted deficit and restores the minimum.</t>
  </si>
  <si>
    <t>Coulson's most-likely financing peaks at $76,000. The pessimistic required-financing figures for October, November, and December are $15,000, $185,000, and $190,000. The optimistic case includes a possible December excess of $107,000. What should drive the credit-line plan?</t>
  </si>
  <si>
    <t>Size the line at $76,000. Lenders accept only the most-likely case.</t>
  </si>
  <si>
    <t>No line is needed. The pessimistic case still shows a December excess of $107,000.</t>
  </si>
  <si>
    <t>The worst-case peak is $190,000, far above $76,000. A line sized only to the most-likely budget can fail in the pessimistic case. The scenarios are there to show that risk before the cash is needed.</t>
  </si>
  <si>
    <t>Even the optimistic November requires $185,000, so the line must be at least $185,000 in the best case.</t>
  </si>
  <si>
    <t>The monthly cash budget shows a surplus, but wages are paid on the 1st and customers pay on the 28th. What limit of the cash budget does the chapter emphasize?</t>
  </si>
  <si>
    <t>None. A monthly surplus means every bill can be paid on its due date.</t>
  </si>
  <si>
    <t>A monthly total hides daily timing. The firm can run out of cash inside the month even when the month as a whole is positive, so daily receipts and disbursements have to be checked.</t>
  </si>
  <si>
    <t>A daily review is needed only when the optimistic scenario is the one being used.</t>
  </si>
  <si>
    <t>Solvency depends on pro forma retained earnings, not on when cash moves.</t>
  </si>
  <si>
    <t>A household budget shows a January cash surplus of $749, a February deficit of $516, and a March deficit of $2,531. What is the cumulative position through March, and what follows from it?</t>
  </si>
  <si>
    <t>A cumulative deficit of $2,298. January's surplus does not cover the later deficits. Borrowing can close one month, but repeating that fix can become a financial problem.</t>
  </si>
  <si>
    <t>A cumulative surplus of $749. Only the first month is carried forward.</t>
  </si>
  <si>
    <t>A cumulative deficit of $516, the single worst month.</t>
  </si>
  <si>
    <t>A cumulative deficit of $1,782, because February is omitted.</t>
  </si>
  <si>
    <t>Fair Traders' 2019 sales were $100,000. Cost of goods sold was $80,000, operating expenses were $10,000, and interest was $1,000. The 2020 sales forecast is $135,000. Under the pure percent-of-sales method, what are 2020 cost of goods sold and interest?</t>
  </si>
  <si>
    <t>Cost of goods sold stays $80,000 and interest stays $1,000, because the method treats both as fixed.</t>
  </si>
  <si>
    <t>Cost of goods sold is 80% of 2019 sales, and interest is 1% of 2020 sales.</t>
  </si>
  <si>
    <t>Cost of goods sold equals the new sales figure, and interest is zero.</t>
  </si>
  <si>
    <t>Cost of goods sold is 0.80 x $135,000 = $108,000, and interest is 0.01 x $135,000 = $1,350. The method scales these items with sales.</t>
  </si>
  <si>
    <t>Treating every cost as a percent of sales gives Fair Traders a 2020 pretax profit of $12,150. Splitting costs into fixed and variable components gives $28,250. Sales rise from $100,000 to $135,000. Why is the first profit lower?</t>
  </si>
  <si>
    <t>The fixed/variable split counts tax twice.</t>
  </si>
  <si>
    <t>The percent-of-sales statement ignores the increase in sales.</t>
  </si>
  <si>
    <t>Percent-of-sales makes every cost rise with sales, so the pretax margin stays near the old 9%. Fixed costs do not rise. Holding them flat lets profit grow faster than sales, and the all-variable method understates that increase.</t>
  </si>
  <si>
    <t>The entire gap comes from treating interest as variable. Operating costs are the same in both statements.</t>
  </si>
  <si>
    <t>Using the fixed/variable split, Fair Traders' 2020 pretax profit is $28,250 and the tax rate is 15%. What is net profit after taxes?</t>
  </si>
  <si>
    <t>$28,250. The tax is deferred, so it is not subtracted.</t>
  </si>
  <si>
    <t>$24,012. Tax is 15% of $28,250, rounded to $4,238, and that tax is subtracted from pretax profit.</t>
  </si>
  <si>
    <t>$20,012. Dividends of $4,000 are also subtracted. That remainder is net profit, not earnings retained.</t>
  </si>
  <si>
    <t>$12,150. The all-variable pretax profit is used even after the cost split.</t>
  </si>
  <si>
    <t>Fair Traders' pro forma assets total $105,875. Liabilities and equity, before any plug, total $97,582. In the judgmental approach, what is the external-financing figure and what job does it do?</t>
  </si>
  <si>
    <t>$8,293 of financing still required. The plug is what forces the statement to balance after the other accounts have been estimated.</t>
  </si>
  <si>
    <t>$8,293 of surplus cash, because assets exceed the claims already listed.</t>
  </si>
  <si>
    <t>Zero. A pro forma balance sheet balances without a plug.</t>
  </si>
  <si>
    <t>$105,875. The full asset total has to be borrowed.</t>
  </si>
  <si>
    <t>Projected annual sales are $135,000. Receivables are assumed to equal about 45 days of sales, and the chapter treats 45 days as one-eighth of a year. What receivables balance does that assumption produce?</t>
  </si>
  <si>
    <t>$6,075,000, from multiplying sales by 45.</t>
  </si>
  <si>
    <t>$1,080,000, from multiplying sales by 8.</t>
  </si>
  <si>
    <t>$16,644, from the exact fraction 45/365. The chapter rejects the one-eighth shortcut.</t>
  </si>
  <si>
    <t>$16,875. One-eighth of $135,000 is the balance the chapter uses.</t>
  </si>
  <si>
    <t>Net fixed assets start at $51,000. A machine costing $20,000 is purchased, and depreciation for the year is $8,000. What is ending net fixed assets?</t>
  </si>
  <si>
    <t>$23,000. The purchase is subtracted and depreciation is subtracted again.</t>
  </si>
  <si>
    <t>$71,000. The purchase is added and depreciation is ignored.</t>
  </si>
  <si>
    <t>$63,000. The purchase is added to the opening net balance and depreciation is subtracted.</t>
  </si>
  <si>
    <t>$12,000. Only the new machine, net of depreciation, is kept.</t>
  </si>
  <si>
    <t>Purchases are about 30% of projected sales of $135,000. Payables represent 73 days, which the chapter treats as one-fifth of purchases. What is the pro forma accounts-payable balance?</t>
  </si>
  <si>
    <t>$2,956,500, from multiplying purchases by 73.</t>
  </si>
  <si>
    <t>$8,100. Purchases are $40,500, and one-fifth of that is the payable.</t>
  </si>
  <si>
    <t>$27,000. The one-fifth fraction is applied to sales rather than to purchases.</t>
  </si>
  <si>
    <t>$12,150. Purchases are multiplied by 30% a second time.</t>
  </si>
  <si>
    <t>The percent-of-sales tax expense is $1,823. Taxes payable are estimated as one-fourth of that year's tax. Which payable does the chapter record?</t>
  </si>
  <si>
    <t>$455, one-fourth of $1,823 after rounding.</t>
  </si>
  <si>
    <t>$7,292, four times the tax expense.</t>
  </si>
  <si>
    <t>$1,823, the full tax expense.</t>
  </si>
  <si>
    <t>$1,368, the tax minus one-fourth, which is the amount paid rather than the payable.</t>
  </si>
  <si>
    <t>Retained earnings begin at $23,000. The percent-of-sales pro forma has net profit after taxes of $10,327 and common dividends of $4,000, and it carries $6,327 to retained earnings. What is ending retained earnings?</t>
  </si>
  <si>
    <t>$27,000. Dividends are added to the opening balance.</t>
  </si>
  <si>
    <t>$6,327. The addition replaces the opening balance.</t>
  </si>
  <si>
    <t>$33,327. Full net profit is added and the dividend is ignored.</t>
  </si>
  <si>
    <t>$29,327. The $6,327 addition is profit after the $4,000 dividend. Using the higher fixed/variable profit instead would change this balance and the financing plug.</t>
  </si>
  <si>
    <t>Which criticism does the chapter actually make of the pro forma methods it has just demonstrated?</t>
  </si>
  <si>
    <t>The statements are useless because lenders are not allowed to read a forecast.</t>
  </si>
  <si>
    <t>The only weakness is rounding.</t>
  </si>
  <si>
    <t>The methods assume the past will be repeated, and they force accounts such as cash, receivables, and inventory onto desired values. Easier arithmetic does not justify those assumptions.</t>
  </si>
  <si>
    <t>The statements cannot be used to compute any ratio.</t>
  </si>
  <si>
    <t>Fill in the Questions sheet. Leave the header row unchanged.</t>
  </si>
  <si>
    <t>prompt: the question text.</t>
  </si>
  <si>
    <t>type: single or multi.</t>
  </si>
  <si>
    <t>option_a through option_f: write at least two options. Leave unused columns blank.</t>
  </si>
  <si>
    <t>correct: the letter of each right option. One letter for single (B). Several for multi (A, C).</t>
  </si>
  <si>
    <t>Example</t>
  </si>
  <si>
    <t>prompt: What is 2 + 2?</t>
  </si>
  <si>
    <t>type: single</t>
  </si>
  <si>
    <t>option_a: 3</t>
  </si>
  <si>
    <t>option_b: 4</t>
  </si>
  <si>
    <t>option_c: 5</t>
  </si>
  <si>
    <t>option_d: 6</t>
  </si>
  <si>
    <t>correct: B</t>
  </si>
  <si>
    <t>prompt: Which of these are even?</t>
  </si>
  <si>
    <t>type: multi</t>
  </si>
  <si>
    <t>option_a: 1</t>
  </si>
  <si>
    <t>option_b: 2</t>
  </si>
  <si>
    <t>option_c: 3</t>
  </si>
  <si>
    <t>option_d: 4</t>
  </si>
  <si>
    <t>correct: B, D</t>
  </si>
  <si>
    <t>Blank rows are ignored. Do not upload this file until the Questions sheet has your own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</si>
</sst>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pane ySplit="1" topLeftCell="A19" activePane="bottomLeft" state="frozen"/>
      <selection pane="bottomLeft" activeCell="A19" sqref="A19"/>
    </sheetView>
  </sheetViews>
  <sheetFormatPr defaultRowHeight="14.4" x14ac:dyDescent="0.3"/>
  <cols>
    <col min="1" max="1" width="88" customWidth="1"/>
    <col min="2" max="9" width="42" customWidth="1"/>
  </cols>
  <sheetData>
    <row r="1" spans="1:9" s="1" customFormat="1" ht="22.05" customHeight="1" x14ac:dyDescent="0.3">
      <c r="A1" s="1" t="s">
        <v>0</v>
      </c>
      <c r="B1" s="1" t="s">
        <v>1</v>
      </c>
      <c r="C1" s="1" t="s">
        <v>2</v>
      </c>
      <c r="D1" s="1" t="s">
        <v>3</v>
      </c>
      <c r="E1" s="1" t="s">
        <v>4</v>
      </c>
      <c r="F1" s="1" t="s">
        <v>5</v>
      </c>
      <c r="G1" s="1" t="s">
        <v>6</v>
      </c>
      <c r="H1" s="1" t="s">
        <v>7</v>
      </c>
      <c r="I1" s="1" t="s">
        <v>8</v>
      </c>
    </row>
    <row r="2" spans="1:9" ht="57.6" x14ac:dyDescent="0.3">
      <c r="A2" s="3" t="s">
        <v>14</v>
      </c>
      <c r="B2" s="3" t="s">
        <v>9</v>
      </c>
      <c r="C2" s="3" t="s">
        <v>15</v>
      </c>
      <c r="D2" s="3" t="s">
        <v>16</v>
      </c>
      <c r="E2" s="3" t="s">
        <v>17</v>
      </c>
      <c r="F2" s="3" t="s">
        <v>18</v>
      </c>
      <c r="G2" s="3"/>
      <c r="H2" s="3"/>
      <c r="I2" s="3" t="s">
        <v>10</v>
      </c>
    </row>
    <row r="3" spans="1:9" ht="72" x14ac:dyDescent="0.3">
      <c r="A3" s="3" t="s">
        <v>19</v>
      </c>
      <c r="B3" s="3" t="s">
        <v>9</v>
      </c>
      <c r="C3" s="3" t="s">
        <v>20</v>
      </c>
      <c r="D3" s="3" t="s">
        <v>21</v>
      </c>
      <c r="E3" s="3" t="s">
        <v>22</v>
      </c>
      <c r="F3" s="3" t="s">
        <v>23</v>
      </c>
      <c r="G3" s="3"/>
      <c r="H3" s="3"/>
      <c r="I3" s="3" t="s">
        <v>12</v>
      </c>
    </row>
    <row r="4" spans="1:9" ht="28.8" x14ac:dyDescent="0.3">
      <c r="A4" s="3" t="s">
        <v>24</v>
      </c>
      <c r="B4" s="3" t="s">
        <v>9</v>
      </c>
      <c r="C4" s="3" t="s">
        <v>25</v>
      </c>
      <c r="D4" s="3" t="s">
        <v>26</v>
      </c>
      <c r="E4" s="3" t="s">
        <v>27</v>
      </c>
      <c r="F4" s="3" t="s">
        <v>28</v>
      </c>
      <c r="G4" s="3"/>
      <c r="H4" s="3"/>
      <c r="I4" s="3" t="s">
        <v>11</v>
      </c>
    </row>
    <row r="5" spans="1:9" ht="43.2" x14ac:dyDescent="0.3">
      <c r="A5" s="3" t="s">
        <v>29</v>
      </c>
      <c r="B5" s="3" t="s">
        <v>9</v>
      </c>
      <c r="C5" s="3" t="s">
        <v>30</v>
      </c>
      <c r="D5" s="3" t="s">
        <v>31</v>
      </c>
      <c r="E5" s="3" t="s">
        <v>32</v>
      </c>
      <c r="F5" s="3" t="s">
        <v>33</v>
      </c>
      <c r="G5" s="3"/>
      <c r="H5" s="3"/>
      <c r="I5" s="3" t="s">
        <v>13</v>
      </c>
    </row>
    <row r="6" spans="1:9" ht="43.2" x14ac:dyDescent="0.3">
      <c r="A6" s="3" t="s">
        <v>34</v>
      </c>
      <c r="B6" s="3" t="s">
        <v>9</v>
      </c>
      <c r="C6" s="3" t="s">
        <v>35</v>
      </c>
      <c r="D6" s="3" t="s">
        <v>36</v>
      </c>
      <c r="E6" s="3" t="s">
        <v>37</v>
      </c>
      <c r="F6" s="3" t="s">
        <v>38</v>
      </c>
      <c r="G6" s="3"/>
      <c r="H6" s="3"/>
      <c r="I6" s="3" t="s">
        <v>10</v>
      </c>
    </row>
    <row r="7" spans="1:9" ht="57.6" x14ac:dyDescent="0.3">
      <c r="A7" s="3" t="s">
        <v>39</v>
      </c>
      <c r="B7" s="3" t="s">
        <v>9</v>
      </c>
      <c r="C7" s="3" t="s">
        <v>40</v>
      </c>
      <c r="D7" s="3" t="s">
        <v>41</v>
      </c>
      <c r="E7" s="3" t="s">
        <v>42</v>
      </c>
      <c r="F7" s="3" t="s">
        <v>43</v>
      </c>
      <c r="G7" s="3"/>
      <c r="H7" s="3"/>
      <c r="I7" s="3" t="s">
        <v>12</v>
      </c>
    </row>
    <row r="8" spans="1:9" ht="57.6" x14ac:dyDescent="0.3">
      <c r="A8" s="3" t="s">
        <v>44</v>
      </c>
      <c r="B8" s="3" t="s">
        <v>9</v>
      </c>
      <c r="C8" s="3" t="s">
        <v>45</v>
      </c>
      <c r="D8" s="3" t="s">
        <v>46</v>
      </c>
      <c r="E8" s="3" t="s">
        <v>47</v>
      </c>
      <c r="F8" s="3" t="s">
        <v>48</v>
      </c>
      <c r="G8" s="3"/>
      <c r="H8" s="3"/>
      <c r="I8" s="3" t="s">
        <v>11</v>
      </c>
    </row>
    <row r="9" spans="1:9" ht="72" x14ac:dyDescent="0.3">
      <c r="A9" s="3" t="s">
        <v>49</v>
      </c>
      <c r="B9" s="3" t="s">
        <v>9</v>
      </c>
      <c r="C9" s="3" t="s">
        <v>50</v>
      </c>
      <c r="D9" s="3" t="s">
        <v>51</v>
      </c>
      <c r="E9" s="3" t="s">
        <v>52</v>
      </c>
      <c r="F9" s="3" t="s">
        <v>53</v>
      </c>
      <c r="G9" s="3"/>
      <c r="H9" s="3"/>
      <c r="I9" s="3" t="s">
        <v>13</v>
      </c>
    </row>
    <row r="10" spans="1:9" ht="57.6" x14ac:dyDescent="0.3">
      <c r="A10" s="3" t="s">
        <v>54</v>
      </c>
      <c r="B10" s="3" t="s">
        <v>9</v>
      </c>
      <c r="C10" s="3" t="s">
        <v>55</v>
      </c>
      <c r="D10" s="3" t="s">
        <v>56</v>
      </c>
      <c r="E10" s="3" t="s">
        <v>57</v>
      </c>
      <c r="F10" s="3" t="s">
        <v>58</v>
      </c>
      <c r="G10" s="3"/>
      <c r="H10" s="3"/>
      <c r="I10" s="3" t="s">
        <v>10</v>
      </c>
    </row>
    <row r="11" spans="1:9" ht="57.6" x14ac:dyDescent="0.3">
      <c r="A11" s="3" t="s">
        <v>59</v>
      </c>
      <c r="B11" s="3" t="s">
        <v>9</v>
      </c>
      <c r="C11" s="3" t="s">
        <v>60</v>
      </c>
      <c r="D11" s="3" t="s">
        <v>61</v>
      </c>
      <c r="E11" s="3" t="s">
        <v>62</v>
      </c>
      <c r="F11" s="3" t="s">
        <v>63</v>
      </c>
      <c r="G11" s="3"/>
      <c r="H11" s="3"/>
      <c r="I11" s="3" t="s">
        <v>12</v>
      </c>
    </row>
    <row r="12" spans="1:9" ht="43.2" x14ac:dyDescent="0.3">
      <c r="A12" s="3" t="s">
        <v>64</v>
      </c>
      <c r="B12" s="3" t="s">
        <v>9</v>
      </c>
      <c r="C12" s="3" t="s">
        <v>65</v>
      </c>
      <c r="D12" s="3" t="s">
        <v>66</v>
      </c>
      <c r="E12" s="3" t="s">
        <v>67</v>
      </c>
      <c r="F12" s="3" t="s">
        <v>68</v>
      </c>
      <c r="G12" s="3"/>
      <c r="H12" s="3"/>
      <c r="I12" s="3" t="s">
        <v>11</v>
      </c>
    </row>
    <row r="13" spans="1:9" ht="72" x14ac:dyDescent="0.3">
      <c r="A13" s="3" t="s">
        <v>69</v>
      </c>
      <c r="B13" s="3" t="s">
        <v>9</v>
      </c>
      <c r="C13" s="3" t="s">
        <v>70</v>
      </c>
      <c r="D13" s="3" t="s">
        <v>71</v>
      </c>
      <c r="E13" s="3" t="s">
        <v>72</v>
      </c>
      <c r="F13" s="3" t="s">
        <v>73</v>
      </c>
      <c r="G13" s="3"/>
      <c r="H13" s="3"/>
      <c r="I13" s="3" t="s">
        <v>13</v>
      </c>
    </row>
    <row r="14" spans="1:9" ht="43.2" x14ac:dyDescent="0.3">
      <c r="A14" s="3" t="s">
        <v>74</v>
      </c>
      <c r="B14" s="3" t="s">
        <v>9</v>
      </c>
      <c r="C14" s="3" t="s">
        <v>75</v>
      </c>
      <c r="D14" s="3" t="s">
        <v>76</v>
      </c>
      <c r="E14" s="3" t="s">
        <v>77</v>
      </c>
      <c r="F14" s="3" t="s">
        <v>78</v>
      </c>
      <c r="G14" s="3"/>
      <c r="H14" s="3"/>
      <c r="I14" s="3" t="s">
        <v>10</v>
      </c>
    </row>
    <row r="15" spans="1:9" ht="43.2" x14ac:dyDescent="0.3">
      <c r="A15" s="3" t="s">
        <v>79</v>
      </c>
      <c r="B15" s="3" t="s">
        <v>9</v>
      </c>
      <c r="C15" s="3" t="s">
        <v>80</v>
      </c>
      <c r="D15" s="3" t="s">
        <v>81</v>
      </c>
      <c r="E15" s="3" t="s">
        <v>82</v>
      </c>
      <c r="F15" s="3" t="s">
        <v>83</v>
      </c>
      <c r="G15" s="3"/>
      <c r="H15" s="3"/>
      <c r="I15" s="3" t="s">
        <v>12</v>
      </c>
    </row>
    <row r="16" spans="1:9" ht="28.8" x14ac:dyDescent="0.3">
      <c r="A16" s="3" t="s">
        <v>84</v>
      </c>
      <c r="B16" s="3" t="s">
        <v>9</v>
      </c>
      <c r="C16" s="3" t="s">
        <v>85</v>
      </c>
      <c r="D16" s="3" t="s">
        <v>86</v>
      </c>
      <c r="E16" s="3" t="s">
        <v>87</v>
      </c>
      <c r="F16" s="3" t="s">
        <v>88</v>
      </c>
      <c r="G16" s="3"/>
      <c r="H16" s="3"/>
      <c r="I16" s="3" t="s">
        <v>11</v>
      </c>
    </row>
    <row r="17" spans="1:9" ht="28.8" x14ac:dyDescent="0.3">
      <c r="A17" s="3" t="s">
        <v>89</v>
      </c>
      <c r="B17" s="3" t="s">
        <v>9</v>
      </c>
      <c r="C17" s="3" t="s">
        <v>90</v>
      </c>
      <c r="D17" s="3" t="s">
        <v>91</v>
      </c>
      <c r="E17" s="3" t="s">
        <v>92</v>
      </c>
      <c r="F17" s="3" t="s">
        <v>93</v>
      </c>
      <c r="G17" s="3"/>
      <c r="H17" s="3"/>
      <c r="I17" s="3" t="s">
        <v>13</v>
      </c>
    </row>
    <row r="18" spans="1:9" ht="28.8" x14ac:dyDescent="0.3">
      <c r="A18" s="3" t="s">
        <v>94</v>
      </c>
      <c r="B18" s="3" t="s">
        <v>9</v>
      </c>
      <c r="C18" s="3" t="s">
        <v>95</v>
      </c>
      <c r="D18" s="3" t="s">
        <v>96</v>
      </c>
      <c r="E18" s="3" t="s">
        <v>97</v>
      </c>
      <c r="F18" s="3" t="s">
        <v>98</v>
      </c>
      <c r="G18" s="3"/>
      <c r="H18" s="3"/>
      <c r="I18" s="3" t="s">
        <v>10</v>
      </c>
    </row>
    <row r="19" spans="1:9" ht="28.8" x14ac:dyDescent="0.3">
      <c r="A19" s="3" t="s">
        <v>99</v>
      </c>
      <c r="B19" s="3" t="s">
        <v>9</v>
      </c>
      <c r="C19" s="3" t="s">
        <v>100</v>
      </c>
      <c r="D19" s="3" t="s">
        <v>101</v>
      </c>
      <c r="E19" s="3" t="s">
        <v>102</v>
      </c>
      <c r="F19" s="3" t="s">
        <v>103</v>
      </c>
      <c r="G19" s="3"/>
      <c r="H19" s="3"/>
      <c r="I19" s="3" t="s">
        <v>12</v>
      </c>
    </row>
    <row r="20" spans="1:9" ht="57.6" x14ac:dyDescent="0.3">
      <c r="A20" s="3" t="s">
        <v>104</v>
      </c>
      <c r="B20" s="3" t="s">
        <v>9</v>
      </c>
      <c r="C20" s="3" t="s">
        <v>105</v>
      </c>
      <c r="D20" s="3" t="s">
        <v>106</v>
      </c>
      <c r="E20" s="3" t="s">
        <v>107</v>
      </c>
      <c r="F20" s="3" t="s">
        <v>108</v>
      </c>
      <c r="G20" s="3"/>
      <c r="H20" s="3"/>
      <c r="I20" s="3" t="s">
        <v>11</v>
      </c>
    </row>
    <row r="21" spans="1:9" ht="72" x14ac:dyDescent="0.3">
      <c r="A21" s="3" t="s">
        <v>109</v>
      </c>
      <c r="B21" s="3" t="s">
        <v>9</v>
      </c>
      <c r="C21" s="3" t="s">
        <v>110</v>
      </c>
      <c r="D21" s="3" t="s">
        <v>111</v>
      </c>
      <c r="E21" s="3" t="s">
        <v>112</v>
      </c>
      <c r="F21" s="3" t="s">
        <v>113</v>
      </c>
      <c r="G21" s="3"/>
      <c r="H21" s="3"/>
      <c r="I21" s="3" t="s">
        <v>13</v>
      </c>
    </row>
    <row r="42" spans="1:9" x14ac:dyDescent="0.3">
      <c r="A42" s="3"/>
      <c r="B42" s="3"/>
      <c r="C42" s="3"/>
      <c r="D42" s="3"/>
      <c r="E42" s="3"/>
      <c r="F42" s="3"/>
      <c r="G42" s="3"/>
      <c r="H42" s="3"/>
      <c r="I42" s="3"/>
    </row>
    <row r="43" spans="1:9" x14ac:dyDescent="0.3">
      <c r="A43" s="3"/>
      <c r="B43" s="3"/>
      <c r="C43" s="3"/>
      <c r="D43" s="3"/>
      <c r="E43" s="3"/>
      <c r="F43" s="3"/>
      <c r="G43" s="3"/>
      <c r="H43" s="3"/>
      <c r="I43" s="3"/>
    </row>
    <row r="44" spans="1:9" x14ac:dyDescent="0.3">
      <c r="A44" s="3"/>
      <c r="B44" s="3"/>
      <c r="C44" s="3"/>
      <c r="D44" s="3"/>
      <c r="E44" s="3"/>
      <c r="F44" s="3"/>
      <c r="G44" s="3"/>
      <c r="H44" s="3"/>
      <c r="I44" s="3"/>
    </row>
    <row r="45" spans="1:9" x14ac:dyDescent="0.3">
      <c r="A45" s="3"/>
      <c r="B45" s="3"/>
      <c r="C45" s="3"/>
      <c r="D45" s="3"/>
      <c r="E45" s="3"/>
      <c r="F45" s="3"/>
      <c r="G45" s="3"/>
      <c r="H45" s="3"/>
      <c r="I45" s="3"/>
    </row>
    <row r="46" spans="1:9" x14ac:dyDescent="0.3">
      <c r="A46" s="3"/>
      <c r="B46" s="3"/>
      <c r="C46" s="3"/>
      <c r="D46" s="3"/>
      <c r="E46" s="3"/>
      <c r="F46" s="3"/>
      <c r="G46" s="3"/>
      <c r="H46" s="3"/>
      <c r="I46" s="3"/>
    </row>
    <row r="47" spans="1:9" x14ac:dyDescent="0.3">
      <c r="A47" s="3"/>
      <c r="B47" s="3"/>
      <c r="C47" s="3"/>
      <c r="D47" s="3"/>
      <c r="E47" s="3"/>
      <c r="F47" s="3"/>
      <c r="G47" s="3"/>
      <c r="H47" s="3"/>
      <c r="I47" s="3"/>
    </row>
    <row r="48" spans="1:9" x14ac:dyDescent="0.3">
      <c r="A48" s="3"/>
      <c r="B48" s="3"/>
      <c r="C48" s="3"/>
      <c r="D48" s="3"/>
      <c r="E48" s="3"/>
      <c r="F48" s="3"/>
      <c r="G48" s="3"/>
      <c r="H48" s="3"/>
      <c r="I48" s="3"/>
    </row>
    <row r="49" spans="1:9" x14ac:dyDescent="0.3">
      <c r="A49" s="3"/>
      <c r="B49" s="3"/>
      <c r="C49" s="3"/>
      <c r="D49" s="3"/>
      <c r="E49" s="3"/>
      <c r="F49" s="3"/>
      <c r="G49" s="3"/>
      <c r="H49" s="3"/>
      <c r="I49" s="3"/>
    </row>
    <row r="50" spans="1:9" x14ac:dyDescent="0.3">
      <c r="A50" s="3"/>
      <c r="B50" s="3"/>
      <c r="C50" s="3"/>
      <c r="D50" s="3"/>
      <c r="E50" s="3"/>
      <c r="F50" s="3"/>
      <c r="G50" s="3"/>
      <c r="H50" s="3"/>
      <c r="I50" s="3"/>
    </row>
    <row r="51" spans="1:9" x14ac:dyDescent="0.3">
      <c r="A51" s="3"/>
      <c r="B51" s="3"/>
      <c r="C51" s="3"/>
      <c r="D51" s="3"/>
      <c r="E51" s="3"/>
      <c r="F51" s="3"/>
      <c r="G51" s="3"/>
      <c r="H51" s="3"/>
      <c r="I51" s="3"/>
    </row>
    <row r="52" spans="1:9" x14ac:dyDescent="0.3">
      <c r="A52" s="3"/>
      <c r="B52" s="3"/>
      <c r="C52" s="3"/>
      <c r="D52" s="3"/>
      <c r="E52" s="3"/>
      <c r="F52" s="3"/>
      <c r="G52" s="3"/>
      <c r="H52" s="3"/>
      <c r="I52" s="3"/>
    </row>
    <row r="53" spans="1:9" x14ac:dyDescent="0.3">
      <c r="A53" s="3"/>
      <c r="B53" s="3"/>
      <c r="C53" s="3"/>
      <c r="D53" s="3"/>
      <c r="E53" s="3"/>
      <c r="F53" s="3"/>
      <c r="G53" s="3"/>
      <c r="H53" s="3"/>
      <c r="I53" s="3"/>
    </row>
    <row r="54" spans="1:9" x14ac:dyDescent="0.3">
      <c r="A54" s="3"/>
      <c r="B54" s="3"/>
      <c r="C54" s="3"/>
      <c r="D54" s="3"/>
      <c r="E54" s="3"/>
      <c r="F54" s="3"/>
      <c r="G54" s="3"/>
      <c r="H54" s="3"/>
      <c r="I54" s="3"/>
    </row>
    <row r="55" spans="1:9" x14ac:dyDescent="0.3">
      <c r="A55" s="3"/>
      <c r="B55" s="3"/>
      <c r="C55" s="3"/>
      <c r="D55" s="3"/>
      <c r="E55" s="3"/>
      <c r="F55" s="3"/>
      <c r="G55" s="3"/>
      <c r="H55" s="3"/>
      <c r="I55" s="3"/>
    </row>
    <row r="56" spans="1:9" x14ac:dyDescent="0.3">
      <c r="A56" s="3"/>
      <c r="B56" s="3"/>
      <c r="C56" s="3"/>
      <c r="D56" s="3"/>
      <c r="E56" s="3"/>
      <c r="F56" s="3"/>
      <c r="G56" s="3"/>
      <c r="H56" s="3"/>
      <c r="I56" s="3"/>
    </row>
    <row r="57" spans="1:9" x14ac:dyDescent="0.3">
      <c r="A57" s="3"/>
      <c r="B57" s="3"/>
      <c r="C57" s="3"/>
      <c r="D57" s="3"/>
      <c r="E57" s="3"/>
      <c r="F57" s="3"/>
      <c r="G57" s="3"/>
      <c r="H57" s="3"/>
      <c r="I57" s="3"/>
    </row>
    <row r="58" spans="1:9" x14ac:dyDescent="0.3">
      <c r="A58" s="3"/>
      <c r="B58" s="3"/>
      <c r="C58" s="3"/>
      <c r="D58" s="3"/>
      <c r="E58" s="3"/>
      <c r="F58" s="3"/>
      <c r="G58" s="3"/>
      <c r="H58" s="3"/>
      <c r="I58" s="3"/>
    </row>
    <row r="59" spans="1:9" x14ac:dyDescent="0.3">
      <c r="A59" s="3"/>
      <c r="B59" s="3"/>
      <c r="C59" s="3"/>
      <c r="D59" s="3"/>
      <c r="E59" s="3"/>
      <c r="F59" s="3"/>
      <c r="G59" s="3"/>
      <c r="H59" s="3"/>
      <c r="I59" s="3"/>
    </row>
    <row r="60" spans="1:9" x14ac:dyDescent="0.3">
      <c r="A60" s="3"/>
      <c r="B60" s="3"/>
      <c r="C60" s="3"/>
      <c r="D60" s="3"/>
      <c r="E60" s="3"/>
      <c r="F60" s="3"/>
      <c r="G60" s="3"/>
      <c r="H60" s="3"/>
      <c r="I60" s="3"/>
    </row>
    <row r="61" spans="1:9" x14ac:dyDescent="0.3">
      <c r="A61" s="3"/>
      <c r="B61" s="3"/>
      <c r="C61" s="3"/>
      <c r="D61" s="3"/>
      <c r="E61" s="3"/>
      <c r="F61" s="3"/>
      <c r="G61" s="3"/>
      <c r="H61" s="3"/>
      <c r="I61" s="3"/>
    </row>
  </sheetData>
  <autoFilter ref="A1:I61" xr:uid="{00000000-0009-0000-0000-000000000000}"/>
  <dataValidations count="1">
    <dataValidation type="list" allowBlank="1" showInputMessage="1" showErrorMessage="1" errorTitle="Type" error="Use single or multi." sqref="B42:B500 B2:B21" xr:uid="{00000000-0002-0000-0000-000000000000}">
      <formula1>"single,multi"</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defaultRowHeight="14.4" x14ac:dyDescent="0.3"/>
  <cols>
    <col min="1" max="1" width="88" customWidth="1"/>
  </cols>
  <sheetData>
    <row r="1" spans="1:1" x14ac:dyDescent="0.3">
      <c r="A1" s="2" t="s">
        <v>114</v>
      </c>
    </row>
    <row r="2" spans="1:1" x14ac:dyDescent="0.3">
      <c r="A2" s="2"/>
    </row>
    <row r="3" spans="1:1" x14ac:dyDescent="0.3">
      <c r="A3" s="2" t="s">
        <v>115</v>
      </c>
    </row>
    <row r="4" spans="1:1" x14ac:dyDescent="0.3">
      <c r="A4" s="2" t="s">
        <v>116</v>
      </c>
    </row>
    <row r="5" spans="1:1" x14ac:dyDescent="0.3">
      <c r="A5" s="2" t="s">
        <v>117</v>
      </c>
    </row>
    <row r="6" spans="1:1" x14ac:dyDescent="0.3">
      <c r="A6" s="2" t="s">
        <v>118</v>
      </c>
    </row>
    <row r="7" spans="1:1" x14ac:dyDescent="0.3">
      <c r="A7" s="2"/>
    </row>
    <row r="8" spans="1:1" x14ac:dyDescent="0.3">
      <c r="A8" s="2" t="s">
        <v>119</v>
      </c>
    </row>
    <row r="9" spans="1:1" x14ac:dyDescent="0.3">
      <c r="A9" s="2" t="s">
        <v>120</v>
      </c>
    </row>
    <row r="10" spans="1:1" x14ac:dyDescent="0.3">
      <c r="A10" s="2" t="s">
        <v>121</v>
      </c>
    </row>
    <row r="11" spans="1:1" x14ac:dyDescent="0.3">
      <c r="A11" s="2" t="s">
        <v>122</v>
      </c>
    </row>
    <row r="12" spans="1:1" x14ac:dyDescent="0.3">
      <c r="A12" s="2" t="s">
        <v>123</v>
      </c>
    </row>
    <row r="13" spans="1:1" x14ac:dyDescent="0.3">
      <c r="A13" s="2" t="s">
        <v>124</v>
      </c>
    </row>
    <row r="14" spans="1:1" x14ac:dyDescent="0.3">
      <c r="A14" s="2" t="s">
        <v>125</v>
      </c>
    </row>
    <row r="15" spans="1:1" x14ac:dyDescent="0.3">
      <c r="A15" s="2" t="s">
        <v>126</v>
      </c>
    </row>
    <row r="16" spans="1:1" x14ac:dyDescent="0.3">
      <c r="A16" s="2"/>
    </row>
    <row r="17" spans="1:1" x14ac:dyDescent="0.3">
      <c r="A17" s="2" t="s">
        <v>119</v>
      </c>
    </row>
    <row r="18" spans="1:1" x14ac:dyDescent="0.3">
      <c r="A18" s="2" t="s">
        <v>127</v>
      </c>
    </row>
    <row r="19" spans="1:1" x14ac:dyDescent="0.3">
      <c r="A19" s="2" t="s">
        <v>128</v>
      </c>
    </row>
    <row r="20" spans="1:1" x14ac:dyDescent="0.3">
      <c r="A20" s="2" t="s">
        <v>129</v>
      </c>
    </row>
    <row r="21" spans="1:1" x14ac:dyDescent="0.3">
      <c r="A21" s="2" t="s">
        <v>130</v>
      </c>
    </row>
    <row r="22" spans="1:1" x14ac:dyDescent="0.3">
      <c r="A22" s="2" t="s">
        <v>131</v>
      </c>
    </row>
    <row r="23" spans="1:1" x14ac:dyDescent="0.3">
      <c r="A23" s="2" t="s">
        <v>132</v>
      </c>
    </row>
    <row r="24" spans="1:1" x14ac:dyDescent="0.3">
      <c r="A24" s="2" t="s">
        <v>133</v>
      </c>
    </row>
    <row r="25" spans="1:1" x14ac:dyDescent="0.3">
      <c r="A25" s="2"/>
    </row>
    <row r="26" spans="1:1" x14ac:dyDescent="0.3">
      <c r="A26" s="2" t="s">
        <v>134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ANGGITO ANJU HARTAWAN MANALU</cp:lastModifiedBy>
  <dcterms:created xsi:type="dcterms:W3CDTF">2026-10-09T16:29:53Z</dcterms:created>
  <dcterms:modified xsi:type="dcterms:W3CDTF">2026-10-13T04:56:53Z</dcterms:modified>
</cp:coreProperties>
</file>